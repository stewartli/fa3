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tewartli\Downloads\"/>
    </mc:Choice>
  </mc:AlternateContent>
  <xr:revisionPtr revIDLastSave="0" documentId="13_ncr:1_{C01E9FFF-9AC3-41A3-AD81-11A664483CD2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Chart of Accounts" sheetId="1" r:id="rId1"/>
    <sheet name="Summary &amp; Checks" sheetId="2" r:id="rId2"/>
  </sheets>
  <calcPr calcId="18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08" i="1" l="1"/>
  <c r="B17" i="2"/>
  <c r="B16" i="2"/>
  <c r="B15" i="2"/>
  <c r="B14" i="2"/>
  <c r="B13" i="2"/>
  <c r="B5" i="2"/>
  <c r="B4" i="2"/>
  <c r="B3" i="2"/>
  <c r="B18" i="2" l="1"/>
  <c r="B19" i="2"/>
  <c r="B6" i="2"/>
  <c r="B7" i="2" l="1"/>
</calcChain>
</file>

<file path=xl/sharedStrings.xml><?xml version="1.0" encoding="utf-8"?>
<sst xmlns="http://schemas.openxmlformats.org/spreadsheetml/2006/main" count="553" uniqueCount="144">
  <si>
    <t>Asset</t>
  </si>
  <si>
    <t>Balance Sheet</t>
  </si>
  <si>
    <t>Current Assets</t>
  </si>
  <si>
    <t>Accounts Receivable</t>
  </si>
  <si>
    <t>Expense</t>
  </si>
  <si>
    <t>Income Statement</t>
  </si>
  <si>
    <t>Operating Expenses</t>
  </si>
  <si>
    <t>Advertising Expense</t>
  </si>
  <si>
    <t>Liability</t>
  </si>
  <si>
    <t>Long-Term Liabilities</t>
  </si>
  <si>
    <t>Auto Loan</t>
  </si>
  <si>
    <t>Fixed Assets</t>
  </si>
  <si>
    <t>Automobiles &amp; Trucks</t>
  </si>
  <si>
    <t>Bank Service Charges</t>
  </si>
  <si>
    <t>Business License &amp; Fees</t>
  </si>
  <si>
    <t>Car/Truck Expense</t>
  </si>
  <si>
    <t>Car Lease</t>
  </si>
  <si>
    <t>Car/Truck Expense - Other</t>
  </si>
  <si>
    <t>Gas</t>
  </si>
  <si>
    <t>Insurance-Auto</t>
  </si>
  <si>
    <t>Mileage</t>
  </si>
  <si>
    <t>Registration &amp; License</t>
  </si>
  <si>
    <t>Repairs &amp; Maintenance</t>
  </si>
  <si>
    <t>Company Checking Account</t>
  </si>
  <si>
    <t>Company Savings Account</t>
  </si>
  <si>
    <t>Computer &amp; Office Equipment</t>
  </si>
  <si>
    <t>Conferences and Seminars</t>
  </si>
  <si>
    <t>Contributions</t>
  </si>
  <si>
    <t>Current Liabilities</t>
  </si>
  <si>
    <t>Customer Deposits</t>
  </si>
  <si>
    <t>Depreciation Expense</t>
  </si>
  <si>
    <t>Cost of Goods Sold</t>
  </si>
  <si>
    <t>Direct Labor</t>
  </si>
  <si>
    <t>Direct Labor - Other</t>
  </si>
  <si>
    <t>Wages - Sales-Inside</t>
  </si>
  <si>
    <t>Wages - Warehouse</t>
  </si>
  <si>
    <t>Dues and Subscriptions</t>
  </si>
  <si>
    <t>Employee Advances</t>
  </si>
  <si>
    <t>Freight Costs</t>
  </si>
  <si>
    <t>Insurance</t>
  </si>
  <si>
    <t>Disability Insurance</t>
  </si>
  <si>
    <t>General Liability Insurance</t>
  </si>
  <si>
    <t>Insurance - Other</t>
  </si>
  <si>
    <t>Life Insurance</t>
  </si>
  <si>
    <t>Owner's Health Insurance</t>
  </si>
  <si>
    <t>Professional Liability Insuranc</t>
  </si>
  <si>
    <t>Worker's Compensation</t>
  </si>
  <si>
    <t>Inventory Asset</t>
  </si>
  <si>
    <t>Line of Credit</t>
  </si>
  <si>
    <t>Machinery &amp; Equipment</t>
  </si>
  <si>
    <t>Maintenance/Janitorial</t>
  </si>
  <si>
    <t>Marketing Expense</t>
  </si>
  <si>
    <t>Meals and Entertainment</t>
  </si>
  <si>
    <t>Income</t>
  </si>
  <si>
    <t>Revenue</t>
  </si>
  <si>
    <t>Misc. Revenue</t>
  </si>
  <si>
    <t>Unclassified</t>
  </si>
  <si>
    <t>No accnt</t>
  </si>
  <si>
    <t>Office Equipment</t>
  </si>
  <si>
    <t>Other Expense</t>
  </si>
  <si>
    <t>Other Income/Expense</t>
  </si>
  <si>
    <t>Interest Expense</t>
  </si>
  <si>
    <t>Other Expense - Other</t>
  </si>
  <si>
    <t>Other Income</t>
  </si>
  <si>
    <t>Early Payment Discounts</t>
  </si>
  <si>
    <t>Interest Income</t>
  </si>
  <si>
    <t>Other Income - Other</t>
  </si>
  <si>
    <t>Packaging Materials</t>
  </si>
  <si>
    <t>Payroll Clearing (owner's time)</t>
  </si>
  <si>
    <t>Payroll Expenses</t>
  </si>
  <si>
    <t>Petty Cash Account</t>
  </si>
  <si>
    <t>Postage and Delivery</t>
  </si>
  <si>
    <t>Prepaids</t>
  </si>
  <si>
    <t>Prepaid Insurance</t>
  </si>
  <si>
    <t>Prepaid Taxes</t>
  </si>
  <si>
    <t>Prepaids - Other</t>
  </si>
  <si>
    <t>Printing and Reproduction</t>
  </si>
  <si>
    <t>Professional Development</t>
  </si>
  <si>
    <t>Professional Fees</t>
  </si>
  <si>
    <t>Accounting Fees</t>
  </si>
  <si>
    <t>Legal Fees</t>
  </si>
  <si>
    <t>Payroll Service Fees</t>
  </si>
  <si>
    <t>Professional Fees - Other</t>
  </si>
  <si>
    <t>Promotional Expense</t>
  </si>
  <si>
    <t>Purchases  (Cost of Goods)</t>
  </si>
  <si>
    <t>QuickBooks Credit Card</t>
  </si>
  <si>
    <t>Rent</t>
  </si>
  <si>
    <t>Repairs</t>
  </si>
  <si>
    <t>Computer Repairs</t>
  </si>
  <si>
    <t>Equipment Repairs</t>
  </si>
  <si>
    <t>Repairs - Other</t>
  </si>
  <si>
    <t>Security Deposits</t>
  </si>
  <si>
    <t>Supplies</t>
  </si>
  <si>
    <t>Telephone</t>
  </si>
  <si>
    <t>Travel</t>
  </si>
  <si>
    <t>Undeposited Funds</t>
  </si>
  <si>
    <t>Utilities</t>
  </si>
  <si>
    <t>Vendor Refunds</t>
  </si>
  <si>
    <t>Wages</t>
  </si>
  <si>
    <t>Employee Benefits</t>
  </si>
  <si>
    <t>Employee Bonus</t>
  </si>
  <si>
    <t>Payroll Tax Expenses</t>
  </si>
  <si>
    <t>Sick/Holiday &amp; Vacation Pay</t>
  </si>
  <si>
    <t>Wages - Office Staff</t>
  </si>
  <si>
    <t>Wages - Other</t>
  </si>
  <si>
    <t>Equity</t>
  </si>
  <si>
    <t>Deborah Wood Equity</t>
  </si>
  <si>
    <t>Deborah Wood Draws</t>
  </si>
  <si>
    <t>Deborah Wood Equity - Other</t>
  </si>
  <si>
    <t>Deborah Wood Investment</t>
  </si>
  <si>
    <t>Deborah Wood's Time to Jobs</t>
  </si>
  <si>
    <t>Opening Bal Equity</t>
  </si>
  <si>
    <t>Retained Earnings</t>
  </si>
  <si>
    <t>Accounts Payable</t>
  </si>
  <si>
    <t>Accumulated Depreciation</t>
  </si>
  <si>
    <t>Payroll Liabilities</t>
  </si>
  <si>
    <t>401K Payable</t>
  </si>
  <si>
    <t>Payroll Liabilities - Other</t>
  </si>
  <si>
    <t>Payroll Taxes Payable</t>
  </si>
  <si>
    <t>SEC125 Payable</t>
  </si>
  <si>
    <t>Sales Commission (outside reps)</t>
  </si>
  <si>
    <t>Balance Sheet Check</t>
  </si>
  <si>
    <t>Category</t>
  </si>
  <si>
    <t>Amount</t>
  </si>
  <si>
    <t>Total Assets</t>
  </si>
  <si>
    <t>Total Liabilities</t>
  </si>
  <si>
    <t>Total Equity</t>
  </si>
  <si>
    <t>Liabilities + Equity</t>
  </si>
  <si>
    <t>Difference (Assets - (Liab+Equity))</t>
  </si>
  <si>
    <t>Note: cf column mixes period activity (P&amp;L lines) with point-in-time balances (B/S lines) as exported from source. Difference above reflects net income not yet rolled into Retained Earnings/Equity, not a data error in this classification.</t>
  </si>
  <si>
    <t>Income Statement Check</t>
  </si>
  <si>
    <t>Total Revenue</t>
  </si>
  <si>
    <t>Total COGS</t>
  </si>
  <si>
    <t>Total Operating Expenses</t>
  </si>
  <si>
    <t>Total Other Income</t>
  </si>
  <si>
    <t>Total Other Expense</t>
  </si>
  <si>
    <t>Net Income (Revenue is stored as a negative/credit balance)</t>
  </si>
  <si>
    <t>COA</t>
  </si>
  <si>
    <t>FS</t>
  </si>
  <si>
    <t>TB</t>
  </si>
  <si>
    <t>Account</t>
  </si>
  <si>
    <t>Subaccount</t>
  </si>
  <si>
    <t>N</t>
  </si>
  <si>
    <t>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</si>
</sst>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(#,##0.00\);\-"/>
  </numFmts>
  <fonts count="7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2"/>
      <name val="Arial"/>
      <charset val="1"/>
    </font>
    <font>
      <b/>
      <sz val="11"/>
      <color rgb="FFFFFFFF"/>
      <name val="Arial"/>
      <charset val="1"/>
    </font>
    <font>
      <i/>
      <sz val="9"/>
      <color rgb="FF808080"/>
      <name val="Arial"/>
      <charset val="1"/>
    </font>
    <font>
      <b/>
      <sz val="11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EDEDED"/>
      </patternFill>
    </fill>
    <fill>
      <patternFill patternType="solid">
        <fgColor rgb="FFFCE4D6"/>
        <bgColor rgb="FFFBE5D6"/>
      </patternFill>
    </fill>
    <fill>
      <patternFill patternType="solid">
        <fgColor rgb="FFFBE5D6"/>
        <bgColor rgb="FFFCE4D6"/>
      </patternFill>
    </fill>
    <fill>
      <patternFill patternType="solid">
        <fgColor rgb="FFFFF2CC"/>
        <bgColor rgb="FFFBE5D6"/>
      </patternFill>
    </fill>
    <fill>
      <patternFill patternType="solid">
        <fgColor rgb="FFFF9999"/>
        <bgColor rgb="FFFF8080"/>
      </patternFill>
    </fill>
    <fill>
      <patternFill patternType="solid">
        <fgColor rgb="FFEDEDED"/>
        <bgColor rgb="FFF2F2F2"/>
      </patternFill>
    </fill>
    <fill>
      <patternFill patternType="solid">
        <fgColor rgb="FFE2EFDA"/>
        <bgColor rgb="FFEDEDE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164" fontId="2" fillId="3" borderId="1" xfId="0" applyNumberFormat="1" applyFont="1" applyFill="1" applyBorder="1"/>
    <xf numFmtId="0" fontId="2" fillId="4" borderId="1" xfId="0" applyFont="1" applyFill="1" applyBorder="1"/>
    <xf numFmtId="164" fontId="2" fillId="4" borderId="1" xfId="0" applyNumberFormat="1" applyFont="1" applyFill="1" applyBorder="1"/>
    <xf numFmtId="0" fontId="2" fillId="5" borderId="1" xfId="0" applyFont="1" applyFill="1" applyBorder="1"/>
    <xf numFmtId="164" fontId="2" fillId="5" borderId="1" xfId="0" applyNumberFormat="1" applyFont="1" applyFill="1" applyBorder="1"/>
    <xf numFmtId="0" fontId="2" fillId="6" borderId="1" xfId="0" applyFont="1" applyFill="1" applyBorder="1"/>
    <xf numFmtId="164" fontId="2" fillId="6" borderId="1" xfId="0" applyNumberFormat="1" applyFont="1" applyFill="1" applyBorder="1"/>
    <xf numFmtId="0" fontId="2" fillId="7" borderId="1" xfId="0" applyFont="1" applyFill="1" applyBorder="1"/>
    <xf numFmtId="164" fontId="2" fillId="7" borderId="1" xfId="0" applyNumberFormat="1" applyFont="1" applyFill="1" applyBorder="1"/>
    <xf numFmtId="0" fontId="2" fillId="8" borderId="1" xfId="0" applyFont="1" applyFill="1" applyBorder="1"/>
    <xf numFmtId="164" fontId="2" fillId="8" borderId="1" xfId="0" applyNumberFormat="1" applyFont="1" applyFill="1" applyBorder="1"/>
    <xf numFmtId="0" fontId="2" fillId="9" borderId="1" xfId="0" applyFont="1" applyFill="1" applyBorder="1"/>
    <xf numFmtId="164" fontId="2" fillId="9" borderId="1" xfId="0" applyNumberFormat="1" applyFont="1" applyFill="1" applyBorder="1"/>
    <xf numFmtId="0" fontId="2" fillId="10" borderId="1" xfId="0" applyFont="1" applyFill="1" applyBorder="1"/>
    <xf numFmtId="164" fontId="2" fillId="10" borderId="1" xfId="0" applyNumberFormat="1" applyFont="1" applyFill="1" applyBorder="1"/>
    <xf numFmtId="0" fontId="3" fillId="0" borderId="0" xfId="0" applyFont="1"/>
    <xf numFmtId="0" fontId="4" fillId="2" borderId="0" xfId="0" applyFont="1" applyFill="1"/>
    <xf numFmtId="164" fontId="0" fillId="0" borderId="0" xfId="0" applyNumberFormat="1"/>
    <xf numFmtId="0" fontId="5" fillId="0" borderId="0" xfId="0" applyFont="1"/>
    <xf numFmtId="0" fontId="6" fillId="0" borderId="0" xfId="0" applyFont="1"/>
    <xf numFmtId="164" fontId="2" fillId="4" borderId="2" xfId="0" applyNumberFormat="1" applyFont="1" applyFill="1" applyBorder="1"/>
    <xf numFmtId="164" fontId="0" fillId="0" borderId="3" xfId="0" applyNumberFormat="1" applyBorder="1"/>
    <xf numFmtId="164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DEDED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BE5D6"/>
      <rgbColor rgb="FF99CCFF"/>
      <rgbColor rgb="FFFF9999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8"/>
  <sheetViews>
    <sheetView tabSelected="1" zoomScale="90" zoomScaleNormal="90" workbookViewId="0">
      <pane ySplit="1" topLeftCell="A2" activePane="bottomLeft" state="frozen"/>
      <selection pane="bottomLeft" activeCell="J21" sqref="J21"/>
    </sheetView>
  </sheetViews>
  <sheetFormatPr defaultColWidth="8.6328125" defaultRowHeight="14.5" x14ac:dyDescent="0.35"/>
  <cols>
    <col min="1" max="1" width="16" customWidth="1"/>
    <col min="2" max="2" width="20" customWidth="1"/>
    <col min="3" max="3" width="22" customWidth="1"/>
    <col min="4" max="5" width="32" customWidth="1"/>
    <col min="6" max="6" width="5" customWidth="1"/>
    <col min="7" max="7" width="14" customWidth="1"/>
  </cols>
  <sheetData>
    <row r="1" spans="1:7" x14ac:dyDescent="0.35">
      <c r="A1" s="1" t="s">
        <v>137</v>
      </c>
      <c r="B1" s="1" t="s">
        <v>138</v>
      </c>
      <c r="C1" s="1" t="s">
        <v>139</v>
      </c>
      <c r="D1" s="1" t="s">
        <v>140</v>
      </c>
      <c r="E1" s="1" t="s">
        <v>141</v>
      </c>
      <c r="F1" s="1" t="s">
        <v>142</v>
      </c>
      <c r="G1" s="1" t="s">
        <v>143</v>
      </c>
    </row>
    <row r="2" spans="1:7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3</v>
      </c>
      <c r="F2" s="2">
        <v>1</v>
      </c>
      <c r="G2" s="3">
        <v>32333.08</v>
      </c>
    </row>
    <row r="3" spans="1:7" x14ac:dyDescent="0.35">
      <c r="A3" s="4" t="s">
        <v>4</v>
      </c>
      <c r="B3" s="4" t="s">
        <v>5</v>
      </c>
      <c r="C3" s="4" t="s">
        <v>6</v>
      </c>
      <c r="D3" s="4" t="s">
        <v>7</v>
      </c>
      <c r="E3" s="4" t="s">
        <v>7</v>
      </c>
      <c r="F3" s="4">
        <v>1</v>
      </c>
      <c r="G3" s="5">
        <v>2000</v>
      </c>
    </row>
    <row r="4" spans="1:7" x14ac:dyDescent="0.35">
      <c r="A4" s="6" t="s">
        <v>8</v>
      </c>
      <c r="B4" s="6" t="s">
        <v>1</v>
      </c>
      <c r="C4" s="6" t="s">
        <v>9</v>
      </c>
      <c r="D4" s="6" t="s">
        <v>10</v>
      </c>
      <c r="E4" s="6" t="s">
        <v>10</v>
      </c>
      <c r="F4" s="6">
        <v>1</v>
      </c>
      <c r="G4" s="7">
        <v>0</v>
      </c>
    </row>
    <row r="5" spans="1:7" x14ac:dyDescent="0.35">
      <c r="A5" s="2" t="s">
        <v>0</v>
      </c>
      <c r="B5" s="2" t="s">
        <v>1</v>
      </c>
      <c r="C5" s="2" t="s">
        <v>11</v>
      </c>
      <c r="D5" s="2" t="s">
        <v>12</v>
      </c>
      <c r="E5" s="2" t="s">
        <v>12</v>
      </c>
      <c r="F5" s="2">
        <v>1</v>
      </c>
      <c r="G5" s="3">
        <v>45632</v>
      </c>
    </row>
    <row r="6" spans="1:7" x14ac:dyDescent="0.35">
      <c r="A6" s="4" t="s">
        <v>4</v>
      </c>
      <c r="B6" s="4" t="s">
        <v>5</v>
      </c>
      <c r="C6" s="4" t="s">
        <v>6</v>
      </c>
      <c r="D6" s="4" t="s">
        <v>13</v>
      </c>
      <c r="E6" s="4" t="s">
        <v>13</v>
      </c>
      <c r="F6" s="4">
        <v>1</v>
      </c>
      <c r="G6" s="5">
        <v>0</v>
      </c>
    </row>
    <row r="7" spans="1:7" x14ac:dyDescent="0.35">
      <c r="A7" s="4" t="s">
        <v>4</v>
      </c>
      <c r="B7" s="4" t="s">
        <v>5</v>
      </c>
      <c r="C7" s="4" t="s">
        <v>6</v>
      </c>
      <c r="D7" s="4" t="s">
        <v>14</v>
      </c>
      <c r="E7" s="4" t="s">
        <v>14</v>
      </c>
      <c r="F7" s="4">
        <v>1</v>
      </c>
      <c r="G7" s="5">
        <v>710.23</v>
      </c>
    </row>
    <row r="8" spans="1:7" x14ac:dyDescent="0.35">
      <c r="A8" s="4" t="s">
        <v>4</v>
      </c>
      <c r="B8" s="4" t="s">
        <v>5</v>
      </c>
      <c r="C8" s="4" t="s">
        <v>6</v>
      </c>
      <c r="D8" s="4" t="s">
        <v>15</v>
      </c>
      <c r="E8" s="4" t="s">
        <v>16</v>
      </c>
      <c r="F8" s="4">
        <v>1</v>
      </c>
      <c r="G8" s="5">
        <v>6756</v>
      </c>
    </row>
    <row r="9" spans="1:7" x14ac:dyDescent="0.35">
      <c r="A9" s="4" t="s">
        <v>4</v>
      </c>
      <c r="B9" s="4" t="s">
        <v>5</v>
      </c>
      <c r="C9" s="4" t="s">
        <v>6</v>
      </c>
      <c r="D9" s="4" t="s">
        <v>15</v>
      </c>
      <c r="E9" s="4" t="s">
        <v>15</v>
      </c>
      <c r="F9" s="4">
        <v>1</v>
      </c>
      <c r="G9" s="5">
        <v>0</v>
      </c>
    </row>
    <row r="10" spans="1:7" x14ac:dyDescent="0.35">
      <c r="A10" s="4" t="s">
        <v>4</v>
      </c>
      <c r="B10" s="4" t="s">
        <v>5</v>
      </c>
      <c r="C10" s="4" t="s">
        <v>6</v>
      </c>
      <c r="D10" s="4" t="s">
        <v>15</v>
      </c>
      <c r="E10" s="4" t="s">
        <v>17</v>
      </c>
      <c r="F10" s="4">
        <v>1</v>
      </c>
      <c r="G10" s="5">
        <v>0</v>
      </c>
    </row>
    <row r="11" spans="1:7" x14ac:dyDescent="0.35">
      <c r="A11" s="4" t="s">
        <v>4</v>
      </c>
      <c r="B11" s="4" t="s">
        <v>5</v>
      </c>
      <c r="C11" s="4" t="s">
        <v>6</v>
      </c>
      <c r="D11" s="4" t="s">
        <v>15</v>
      </c>
      <c r="E11" s="4" t="s">
        <v>18</v>
      </c>
      <c r="F11" s="4">
        <v>1</v>
      </c>
      <c r="G11" s="5">
        <v>907.64</v>
      </c>
    </row>
    <row r="12" spans="1:7" x14ac:dyDescent="0.35">
      <c r="A12" s="4" t="s">
        <v>4</v>
      </c>
      <c r="B12" s="4" t="s">
        <v>5</v>
      </c>
      <c r="C12" s="4" t="s">
        <v>6</v>
      </c>
      <c r="D12" s="4" t="s">
        <v>15</v>
      </c>
      <c r="E12" s="4" t="s">
        <v>19</v>
      </c>
      <c r="F12" s="4">
        <v>1</v>
      </c>
      <c r="G12" s="5">
        <v>1440</v>
      </c>
    </row>
    <row r="13" spans="1:7" x14ac:dyDescent="0.35">
      <c r="A13" s="4" t="s">
        <v>4</v>
      </c>
      <c r="B13" s="4" t="s">
        <v>5</v>
      </c>
      <c r="C13" s="4" t="s">
        <v>6</v>
      </c>
      <c r="D13" s="4" t="s">
        <v>15</v>
      </c>
      <c r="E13" s="4" t="s">
        <v>20</v>
      </c>
      <c r="F13" s="4">
        <v>1</v>
      </c>
      <c r="G13" s="5">
        <v>0</v>
      </c>
    </row>
    <row r="14" spans="1:7" x14ac:dyDescent="0.35">
      <c r="A14" s="4" t="s">
        <v>4</v>
      </c>
      <c r="B14" s="4" t="s">
        <v>5</v>
      </c>
      <c r="C14" s="4" t="s">
        <v>6</v>
      </c>
      <c r="D14" s="4" t="s">
        <v>15</v>
      </c>
      <c r="E14" s="4" t="s">
        <v>21</v>
      </c>
      <c r="F14" s="4">
        <v>1</v>
      </c>
      <c r="G14" s="5">
        <v>546</v>
      </c>
    </row>
    <row r="15" spans="1:7" x14ac:dyDescent="0.35">
      <c r="A15" s="4" t="s">
        <v>4</v>
      </c>
      <c r="B15" s="4" t="s">
        <v>5</v>
      </c>
      <c r="C15" s="4" t="s">
        <v>6</v>
      </c>
      <c r="D15" s="4" t="s">
        <v>15</v>
      </c>
      <c r="E15" s="4" t="s">
        <v>22</v>
      </c>
      <c r="F15" s="4">
        <v>1</v>
      </c>
      <c r="G15" s="5">
        <v>1700.23</v>
      </c>
    </row>
    <row r="16" spans="1:7" x14ac:dyDescent="0.35">
      <c r="A16" s="2" t="s">
        <v>0</v>
      </c>
      <c r="B16" s="2" t="s">
        <v>1</v>
      </c>
      <c r="C16" s="2" t="s">
        <v>2</v>
      </c>
      <c r="D16" s="2" t="s">
        <v>23</v>
      </c>
      <c r="E16" s="2" t="s">
        <v>23</v>
      </c>
      <c r="F16" s="2">
        <v>1</v>
      </c>
      <c r="G16" s="3">
        <v>90154.32</v>
      </c>
    </row>
    <row r="17" spans="1:7" x14ac:dyDescent="0.35">
      <c r="A17" s="2" t="s">
        <v>0</v>
      </c>
      <c r="B17" s="2" t="s">
        <v>1</v>
      </c>
      <c r="C17" s="2" t="s">
        <v>2</v>
      </c>
      <c r="D17" s="2" t="s">
        <v>24</v>
      </c>
      <c r="E17" s="2" t="s">
        <v>24</v>
      </c>
      <c r="F17" s="2">
        <v>1</v>
      </c>
      <c r="G17" s="3">
        <v>25000</v>
      </c>
    </row>
    <row r="18" spans="1:7" x14ac:dyDescent="0.35">
      <c r="A18" s="2" t="s">
        <v>0</v>
      </c>
      <c r="B18" s="2" t="s">
        <v>1</v>
      </c>
      <c r="C18" s="2" t="s">
        <v>11</v>
      </c>
      <c r="D18" s="2" t="s">
        <v>25</v>
      </c>
      <c r="E18" s="2" t="s">
        <v>25</v>
      </c>
      <c r="F18" s="2">
        <v>1</v>
      </c>
      <c r="G18" s="3">
        <v>19453</v>
      </c>
    </row>
    <row r="19" spans="1:7" x14ac:dyDescent="0.35">
      <c r="A19" s="4" t="s">
        <v>4</v>
      </c>
      <c r="B19" s="4" t="s">
        <v>5</v>
      </c>
      <c r="C19" s="4" t="s">
        <v>6</v>
      </c>
      <c r="D19" s="4" t="s">
        <v>26</v>
      </c>
      <c r="E19" s="4" t="s">
        <v>26</v>
      </c>
      <c r="F19" s="4">
        <v>1</v>
      </c>
      <c r="G19" s="5">
        <v>4700</v>
      </c>
    </row>
    <row r="20" spans="1:7" x14ac:dyDescent="0.35">
      <c r="A20" s="4" t="s">
        <v>4</v>
      </c>
      <c r="B20" s="4" t="s">
        <v>5</v>
      </c>
      <c r="C20" s="4" t="s">
        <v>6</v>
      </c>
      <c r="D20" s="4" t="s">
        <v>27</v>
      </c>
      <c r="E20" s="4" t="s">
        <v>27</v>
      </c>
      <c r="F20" s="4">
        <v>1</v>
      </c>
      <c r="G20" s="5">
        <v>2500</v>
      </c>
    </row>
    <row r="21" spans="1:7" x14ac:dyDescent="0.35">
      <c r="A21" s="6" t="s">
        <v>8</v>
      </c>
      <c r="B21" s="6" t="s">
        <v>1</v>
      </c>
      <c r="C21" s="6" t="s">
        <v>28</v>
      </c>
      <c r="D21" s="6" t="s">
        <v>29</v>
      </c>
      <c r="E21" s="6" t="s">
        <v>29</v>
      </c>
      <c r="F21" s="6">
        <v>1</v>
      </c>
      <c r="G21" s="7">
        <v>3500</v>
      </c>
    </row>
    <row r="22" spans="1:7" x14ac:dyDescent="0.35">
      <c r="A22" s="4" t="s">
        <v>4</v>
      </c>
      <c r="B22" s="4" t="s">
        <v>5</v>
      </c>
      <c r="C22" s="4" t="s">
        <v>6</v>
      </c>
      <c r="D22" s="4" t="s">
        <v>30</v>
      </c>
      <c r="E22" s="4" t="s">
        <v>30</v>
      </c>
      <c r="F22" s="4">
        <v>1</v>
      </c>
      <c r="G22" s="5">
        <v>923.04</v>
      </c>
    </row>
    <row r="23" spans="1:7" x14ac:dyDescent="0.35">
      <c r="A23" s="8" t="s">
        <v>31</v>
      </c>
      <c r="B23" s="8" t="s">
        <v>5</v>
      </c>
      <c r="C23" s="8" t="s">
        <v>31</v>
      </c>
      <c r="D23" s="8" t="s">
        <v>32</v>
      </c>
      <c r="E23" s="8" t="s">
        <v>32</v>
      </c>
      <c r="F23" s="8">
        <v>1</v>
      </c>
      <c r="G23" s="9">
        <v>0</v>
      </c>
    </row>
    <row r="24" spans="1:7" x14ac:dyDescent="0.35">
      <c r="A24" s="8" t="s">
        <v>31</v>
      </c>
      <c r="B24" s="8" t="s">
        <v>5</v>
      </c>
      <c r="C24" s="8" t="s">
        <v>31</v>
      </c>
      <c r="D24" s="8" t="s">
        <v>32</v>
      </c>
      <c r="E24" s="8" t="s">
        <v>33</v>
      </c>
      <c r="F24" s="8">
        <v>1</v>
      </c>
      <c r="G24" s="9">
        <v>0</v>
      </c>
    </row>
    <row r="25" spans="1:7" x14ac:dyDescent="0.35">
      <c r="A25" s="8" t="s">
        <v>31</v>
      </c>
      <c r="B25" s="8" t="s">
        <v>5</v>
      </c>
      <c r="C25" s="8" t="s">
        <v>31</v>
      </c>
      <c r="D25" s="8" t="s">
        <v>32</v>
      </c>
      <c r="E25" s="8" t="s">
        <v>34</v>
      </c>
      <c r="F25" s="8">
        <v>1</v>
      </c>
      <c r="G25" s="9">
        <v>2500</v>
      </c>
    </row>
    <row r="26" spans="1:7" x14ac:dyDescent="0.35">
      <c r="A26" s="8" t="s">
        <v>31</v>
      </c>
      <c r="B26" s="8" t="s">
        <v>5</v>
      </c>
      <c r="C26" s="8" t="s">
        <v>31</v>
      </c>
      <c r="D26" s="8" t="s">
        <v>32</v>
      </c>
      <c r="E26" s="8" t="s">
        <v>35</v>
      </c>
      <c r="F26" s="8">
        <v>1</v>
      </c>
      <c r="G26" s="9">
        <v>19705</v>
      </c>
    </row>
    <row r="27" spans="1:7" x14ac:dyDescent="0.35">
      <c r="A27" s="4" t="s">
        <v>4</v>
      </c>
      <c r="B27" s="4" t="s">
        <v>5</v>
      </c>
      <c r="C27" s="4" t="s">
        <v>6</v>
      </c>
      <c r="D27" s="4" t="s">
        <v>36</v>
      </c>
      <c r="E27" s="4" t="s">
        <v>36</v>
      </c>
      <c r="F27" s="4">
        <v>1</v>
      </c>
      <c r="G27" s="5">
        <v>1900</v>
      </c>
    </row>
    <row r="28" spans="1:7" x14ac:dyDescent="0.35">
      <c r="A28" s="2" t="s">
        <v>0</v>
      </c>
      <c r="B28" s="2" t="s">
        <v>1</v>
      </c>
      <c r="C28" s="2" t="s">
        <v>2</v>
      </c>
      <c r="D28" s="2" t="s">
        <v>37</v>
      </c>
      <c r="E28" s="2" t="s">
        <v>37</v>
      </c>
      <c r="F28" s="2">
        <v>1</v>
      </c>
      <c r="G28" s="3">
        <v>0</v>
      </c>
    </row>
    <row r="29" spans="1:7" x14ac:dyDescent="0.35">
      <c r="A29" s="8" t="s">
        <v>31</v>
      </c>
      <c r="B29" s="8" t="s">
        <v>5</v>
      </c>
      <c r="C29" s="8" t="s">
        <v>31</v>
      </c>
      <c r="D29" s="8" t="s">
        <v>38</v>
      </c>
      <c r="E29" s="8" t="s">
        <v>38</v>
      </c>
      <c r="F29" s="8">
        <v>1</v>
      </c>
      <c r="G29" s="9">
        <v>1810</v>
      </c>
    </row>
    <row r="30" spans="1:7" x14ac:dyDescent="0.35">
      <c r="A30" s="4" t="s">
        <v>4</v>
      </c>
      <c r="B30" s="4" t="s">
        <v>5</v>
      </c>
      <c r="C30" s="4" t="s">
        <v>6</v>
      </c>
      <c r="D30" s="4" t="s">
        <v>39</v>
      </c>
      <c r="E30" s="4" t="s">
        <v>40</v>
      </c>
      <c r="F30" s="4">
        <v>1</v>
      </c>
      <c r="G30" s="5">
        <v>0</v>
      </c>
    </row>
    <row r="31" spans="1:7" x14ac:dyDescent="0.35">
      <c r="A31" s="4" t="s">
        <v>4</v>
      </c>
      <c r="B31" s="4" t="s">
        <v>5</v>
      </c>
      <c r="C31" s="4" t="s">
        <v>6</v>
      </c>
      <c r="D31" s="4" t="s">
        <v>39</v>
      </c>
      <c r="E31" s="4" t="s">
        <v>41</v>
      </c>
      <c r="F31" s="4">
        <v>1</v>
      </c>
      <c r="G31" s="5">
        <v>2760</v>
      </c>
    </row>
    <row r="32" spans="1:7" x14ac:dyDescent="0.35">
      <c r="A32" s="4" t="s">
        <v>4</v>
      </c>
      <c r="B32" s="4" t="s">
        <v>5</v>
      </c>
      <c r="C32" s="4" t="s">
        <v>6</v>
      </c>
      <c r="D32" s="4" t="s">
        <v>39</v>
      </c>
      <c r="E32" s="4" t="s">
        <v>39</v>
      </c>
      <c r="F32" s="4">
        <v>1</v>
      </c>
      <c r="G32" s="5">
        <v>0</v>
      </c>
    </row>
    <row r="33" spans="1:7" x14ac:dyDescent="0.35">
      <c r="A33" s="4" t="s">
        <v>4</v>
      </c>
      <c r="B33" s="4" t="s">
        <v>5</v>
      </c>
      <c r="C33" s="4" t="s">
        <v>6</v>
      </c>
      <c r="D33" s="4" t="s">
        <v>39</v>
      </c>
      <c r="E33" s="4" t="s">
        <v>42</v>
      </c>
      <c r="F33" s="4">
        <v>1</v>
      </c>
      <c r="G33" s="5">
        <v>0</v>
      </c>
    </row>
    <row r="34" spans="1:7" x14ac:dyDescent="0.35">
      <c r="A34" s="4" t="s">
        <v>4</v>
      </c>
      <c r="B34" s="4" t="s">
        <v>5</v>
      </c>
      <c r="C34" s="4" t="s">
        <v>6</v>
      </c>
      <c r="D34" s="4" t="s">
        <v>39</v>
      </c>
      <c r="E34" s="4" t="s">
        <v>43</v>
      </c>
      <c r="F34" s="4">
        <v>1</v>
      </c>
      <c r="G34" s="5">
        <v>0</v>
      </c>
    </row>
    <row r="35" spans="1:7" x14ac:dyDescent="0.35">
      <c r="A35" s="4" t="s">
        <v>4</v>
      </c>
      <c r="B35" s="4" t="s">
        <v>5</v>
      </c>
      <c r="C35" s="4" t="s">
        <v>6</v>
      </c>
      <c r="D35" s="4" t="s">
        <v>39</v>
      </c>
      <c r="E35" s="4" t="s">
        <v>44</v>
      </c>
      <c r="F35" s="4">
        <v>1</v>
      </c>
      <c r="G35" s="5">
        <v>4272</v>
      </c>
    </row>
    <row r="36" spans="1:7" x14ac:dyDescent="0.35">
      <c r="A36" s="4" t="s">
        <v>4</v>
      </c>
      <c r="B36" s="4" t="s">
        <v>5</v>
      </c>
      <c r="C36" s="4" t="s">
        <v>6</v>
      </c>
      <c r="D36" s="4" t="s">
        <v>39</v>
      </c>
      <c r="E36" s="4" t="s">
        <v>45</v>
      </c>
      <c r="F36" s="4">
        <v>1</v>
      </c>
      <c r="G36" s="5">
        <v>6875</v>
      </c>
    </row>
    <row r="37" spans="1:7" x14ac:dyDescent="0.35">
      <c r="A37" s="4" t="s">
        <v>4</v>
      </c>
      <c r="B37" s="4" t="s">
        <v>5</v>
      </c>
      <c r="C37" s="4" t="s">
        <v>6</v>
      </c>
      <c r="D37" s="4" t="s">
        <v>39</v>
      </c>
      <c r="E37" s="4" t="s">
        <v>46</v>
      </c>
      <c r="F37" s="4">
        <v>1</v>
      </c>
      <c r="G37" s="5">
        <v>2782.08</v>
      </c>
    </row>
    <row r="38" spans="1:7" x14ac:dyDescent="0.35">
      <c r="A38" s="2" t="s">
        <v>0</v>
      </c>
      <c r="B38" s="2" t="s">
        <v>1</v>
      </c>
      <c r="C38" s="2" t="s">
        <v>2</v>
      </c>
      <c r="D38" s="2" t="s">
        <v>47</v>
      </c>
      <c r="E38" s="2" t="s">
        <v>47</v>
      </c>
      <c r="F38" s="2">
        <v>1</v>
      </c>
      <c r="G38" s="3">
        <v>46126.05</v>
      </c>
    </row>
    <row r="39" spans="1:7" x14ac:dyDescent="0.35">
      <c r="A39" s="6" t="s">
        <v>8</v>
      </c>
      <c r="B39" s="6" t="s">
        <v>1</v>
      </c>
      <c r="C39" s="6" t="s">
        <v>9</v>
      </c>
      <c r="D39" s="6" t="s">
        <v>48</v>
      </c>
      <c r="E39" s="6" t="s">
        <v>48</v>
      </c>
      <c r="F39" s="6">
        <v>1</v>
      </c>
      <c r="G39" s="7">
        <v>-104618.08</v>
      </c>
    </row>
    <row r="40" spans="1:7" x14ac:dyDescent="0.35">
      <c r="A40" s="2" t="s">
        <v>0</v>
      </c>
      <c r="B40" s="2" t="s">
        <v>1</v>
      </c>
      <c r="C40" s="2" t="s">
        <v>11</v>
      </c>
      <c r="D40" s="2" t="s">
        <v>49</v>
      </c>
      <c r="E40" s="2" t="s">
        <v>49</v>
      </c>
      <c r="F40" s="2">
        <v>1</v>
      </c>
      <c r="G40" s="3">
        <v>25963</v>
      </c>
    </row>
    <row r="41" spans="1:7" x14ac:dyDescent="0.35">
      <c r="A41" s="4" t="s">
        <v>4</v>
      </c>
      <c r="B41" s="4" t="s">
        <v>5</v>
      </c>
      <c r="C41" s="4" t="s">
        <v>6</v>
      </c>
      <c r="D41" s="4" t="s">
        <v>50</v>
      </c>
      <c r="E41" s="4" t="s">
        <v>50</v>
      </c>
      <c r="F41" s="4">
        <v>1</v>
      </c>
      <c r="G41" s="5">
        <v>2841.95</v>
      </c>
    </row>
    <row r="42" spans="1:7" x14ac:dyDescent="0.35">
      <c r="A42" s="4" t="s">
        <v>4</v>
      </c>
      <c r="B42" s="4" t="s">
        <v>5</v>
      </c>
      <c r="C42" s="4" t="s">
        <v>6</v>
      </c>
      <c r="D42" s="4" t="s">
        <v>51</v>
      </c>
      <c r="E42" s="4" t="s">
        <v>51</v>
      </c>
      <c r="F42" s="4">
        <v>1</v>
      </c>
      <c r="G42" s="5">
        <v>4982</v>
      </c>
    </row>
    <row r="43" spans="1:7" x14ac:dyDescent="0.35">
      <c r="A43" s="4" t="s">
        <v>4</v>
      </c>
      <c r="B43" s="4" t="s">
        <v>5</v>
      </c>
      <c r="C43" s="4" t="s">
        <v>6</v>
      </c>
      <c r="D43" s="4" t="s">
        <v>52</v>
      </c>
      <c r="E43" s="4" t="s">
        <v>52</v>
      </c>
      <c r="F43" s="4">
        <v>1</v>
      </c>
      <c r="G43" s="5">
        <v>1376.35</v>
      </c>
    </row>
    <row r="44" spans="1:7" x14ac:dyDescent="0.35">
      <c r="A44" s="10" t="s">
        <v>53</v>
      </c>
      <c r="B44" s="10" t="s">
        <v>5</v>
      </c>
      <c r="C44" s="10" t="s">
        <v>54</v>
      </c>
      <c r="D44" s="10" t="s">
        <v>55</v>
      </c>
      <c r="E44" s="10" t="s">
        <v>55</v>
      </c>
      <c r="F44" s="10">
        <v>1</v>
      </c>
      <c r="G44" s="11">
        <v>0</v>
      </c>
    </row>
    <row r="45" spans="1:7" x14ac:dyDescent="0.35">
      <c r="A45" s="12" t="s">
        <v>56</v>
      </c>
      <c r="B45" s="12" t="s">
        <v>56</v>
      </c>
      <c r="C45" s="12" t="s">
        <v>56</v>
      </c>
      <c r="D45" s="12" t="s">
        <v>57</v>
      </c>
      <c r="E45" s="12" t="s">
        <v>57</v>
      </c>
      <c r="F45" s="12">
        <v>1</v>
      </c>
      <c r="G45" s="13">
        <v>0</v>
      </c>
    </row>
    <row r="46" spans="1:7" x14ac:dyDescent="0.35">
      <c r="A46" s="2" t="s">
        <v>0</v>
      </c>
      <c r="B46" s="2" t="s">
        <v>1</v>
      </c>
      <c r="C46" s="2" t="s">
        <v>11</v>
      </c>
      <c r="D46" s="2" t="s">
        <v>58</v>
      </c>
      <c r="E46" s="2" t="s">
        <v>58</v>
      </c>
      <c r="F46" s="2">
        <v>1</v>
      </c>
      <c r="G46" s="3">
        <v>1100</v>
      </c>
    </row>
    <row r="47" spans="1:7" x14ac:dyDescent="0.35">
      <c r="A47" s="14" t="s">
        <v>59</v>
      </c>
      <c r="B47" s="14" t="s">
        <v>5</v>
      </c>
      <c r="C47" s="14" t="s">
        <v>60</v>
      </c>
      <c r="D47" s="14" t="s">
        <v>59</v>
      </c>
      <c r="E47" s="14" t="s">
        <v>61</v>
      </c>
      <c r="F47" s="14">
        <v>1</v>
      </c>
      <c r="G47" s="15">
        <v>2296.4499999999998</v>
      </c>
    </row>
    <row r="48" spans="1:7" x14ac:dyDescent="0.35">
      <c r="A48" s="14" t="s">
        <v>59</v>
      </c>
      <c r="B48" s="14" t="s">
        <v>5</v>
      </c>
      <c r="C48" s="14" t="s">
        <v>60</v>
      </c>
      <c r="D48" s="14" t="s">
        <v>59</v>
      </c>
      <c r="E48" s="14" t="s">
        <v>59</v>
      </c>
      <c r="F48" s="14">
        <v>1</v>
      </c>
      <c r="G48" s="15">
        <v>0</v>
      </c>
    </row>
    <row r="49" spans="1:7" x14ac:dyDescent="0.35">
      <c r="A49" s="14" t="s">
        <v>59</v>
      </c>
      <c r="B49" s="14" t="s">
        <v>5</v>
      </c>
      <c r="C49" s="14" t="s">
        <v>60</v>
      </c>
      <c r="D49" s="14" t="s">
        <v>59</v>
      </c>
      <c r="E49" s="14" t="s">
        <v>62</v>
      </c>
      <c r="F49" s="14">
        <v>1</v>
      </c>
      <c r="G49" s="15">
        <v>0</v>
      </c>
    </row>
    <row r="50" spans="1:7" x14ac:dyDescent="0.35">
      <c r="A50" s="14" t="s">
        <v>63</v>
      </c>
      <c r="B50" s="14" t="s">
        <v>5</v>
      </c>
      <c r="C50" s="14" t="s">
        <v>60</v>
      </c>
      <c r="D50" s="14" t="s">
        <v>63</v>
      </c>
      <c r="E50" s="14" t="s">
        <v>64</v>
      </c>
      <c r="F50" s="14">
        <v>1</v>
      </c>
      <c r="G50" s="15">
        <v>0</v>
      </c>
    </row>
    <row r="51" spans="1:7" x14ac:dyDescent="0.35">
      <c r="A51" s="14" t="s">
        <v>63</v>
      </c>
      <c r="B51" s="14" t="s">
        <v>5</v>
      </c>
      <c r="C51" s="14" t="s">
        <v>60</v>
      </c>
      <c r="D51" s="14" t="s">
        <v>63</v>
      </c>
      <c r="E51" s="14" t="s">
        <v>65</v>
      </c>
      <c r="F51" s="14">
        <v>1</v>
      </c>
      <c r="G51" s="15">
        <v>0</v>
      </c>
    </row>
    <row r="52" spans="1:7" x14ac:dyDescent="0.35">
      <c r="A52" s="14" t="s">
        <v>63</v>
      </c>
      <c r="B52" s="14" t="s">
        <v>5</v>
      </c>
      <c r="C52" s="14" t="s">
        <v>60</v>
      </c>
      <c r="D52" s="14" t="s">
        <v>63</v>
      </c>
      <c r="E52" s="14" t="s">
        <v>63</v>
      </c>
      <c r="F52" s="14">
        <v>1</v>
      </c>
      <c r="G52" s="15">
        <v>0</v>
      </c>
    </row>
    <row r="53" spans="1:7" x14ac:dyDescent="0.35">
      <c r="A53" s="14" t="s">
        <v>63</v>
      </c>
      <c r="B53" s="14" t="s">
        <v>5</v>
      </c>
      <c r="C53" s="14" t="s">
        <v>60</v>
      </c>
      <c r="D53" s="14" t="s">
        <v>63</v>
      </c>
      <c r="E53" s="14" t="s">
        <v>66</v>
      </c>
      <c r="F53" s="14">
        <v>1</v>
      </c>
      <c r="G53" s="15">
        <v>0</v>
      </c>
    </row>
    <row r="54" spans="1:7" x14ac:dyDescent="0.35">
      <c r="A54" s="8" t="s">
        <v>31</v>
      </c>
      <c r="B54" s="8" t="s">
        <v>5</v>
      </c>
      <c r="C54" s="8" t="s">
        <v>31</v>
      </c>
      <c r="D54" s="8" t="s">
        <v>67</v>
      </c>
      <c r="E54" s="8" t="s">
        <v>67</v>
      </c>
      <c r="F54" s="8">
        <v>1</v>
      </c>
      <c r="G54" s="9">
        <v>1752.5</v>
      </c>
    </row>
    <row r="55" spans="1:7" x14ac:dyDescent="0.35">
      <c r="A55" s="4" t="s">
        <v>4</v>
      </c>
      <c r="B55" s="4" t="s">
        <v>5</v>
      </c>
      <c r="C55" s="4" t="s">
        <v>6</v>
      </c>
      <c r="D55" s="4" t="s">
        <v>68</v>
      </c>
      <c r="E55" s="4" t="s">
        <v>68</v>
      </c>
      <c r="F55" s="4">
        <v>1</v>
      </c>
      <c r="G55" s="5">
        <v>0</v>
      </c>
    </row>
    <row r="56" spans="1:7" x14ac:dyDescent="0.35">
      <c r="A56" s="4" t="s">
        <v>4</v>
      </c>
      <c r="B56" s="4" t="s">
        <v>5</v>
      </c>
      <c r="C56" s="4" t="s">
        <v>6</v>
      </c>
      <c r="D56" s="4" t="s">
        <v>69</v>
      </c>
      <c r="E56" s="4" t="s">
        <v>69</v>
      </c>
      <c r="F56" s="4">
        <v>1</v>
      </c>
      <c r="G56" s="5">
        <v>0</v>
      </c>
    </row>
    <row r="57" spans="1:7" x14ac:dyDescent="0.35">
      <c r="A57" s="2" t="s">
        <v>0</v>
      </c>
      <c r="B57" s="2" t="s">
        <v>1</v>
      </c>
      <c r="C57" s="2" t="s">
        <v>2</v>
      </c>
      <c r="D57" s="2" t="s">
        <v>70</v>
      </c>
      <c r="E57" s="2" t="s">
        <v>70</v>
      </c>
      <c r="F57" s="2">
        <v>1</v>
      </c>
      <c r="G57" s="3">
        <v>500</v>
      </c>
    </row>
    <row r="58" spans="1:7" x14ac:dyDescent="0.35">
      <c r="A58" s="4" t="s">
        <v>4</v>
      </c>
      <c r="B58" s="4" t="s">
        <v>5</v>
      </c>
      <c r="C58" s="4" t="s">
        <v>6</v>
      </c>
      <c r="D58" s="4" t="s">
        <v>71</v>
      </c>
      <c r="E58" s="4" t="s">
        <v>71</v>
      </c>
      <c r="F58" s="4">
        <v>1</v>
      </c>
      <c r="G58" s="5">
        <v>1098</v>
      </c>
    </row>
    <row r="59" spans="1:7" x14ac:dyDescent="0.35">
      <c r="A59" s="2" t="s">
        <v>0</v>
      </c>
      <c r="B59" s="2" t="s">
        <v>1</v>
      </c>
      <c r="C59" s="2" t="s">
        <v>2</v>
      </c>
      <c r="D59" s="2" t="s">
        <v>72</v>
      </c>
      <c r="E59" s="2" t="s">
        <v>73</v>
      </c>
      <c r="F59" s="2">
        <v>1</v>
      </c>
      <c r="G59" s="3">
        <v>0</v>
      </c>
    </row>
    <row r="60" spans="1:7" x14ac:dyDescent="0.35">
      <c r="A60" s="2" t="s">
        <v>0</v>
      </c>
      <c r="B60" s="2" t="s">
        <v>1</v>
      </c>
      <c r="C60" s="2" t="s">
        <v>2</v>
      </c>
      <c r="D60" s="2" t="s">
        <v>72</v>
      </c>
      <c r="E60" s="2" t="s">
        <v>74</v>
      </c>
      <c r="F60" s="2">
        <v>1</v>
      </c>
      <c r="G60" s="3">
        <v>800</v>
      </c>
    </row>
    <row r="61" spans="1:7" x14ac:dyDescent="0.35">
      <c r="A61" s="2" t="s">
        <v>0</v>
      </c>
      <c r="B61" s="2" t="s">
        <v>1</v>
      </c>
      <c r="C61" s="2" t="s">
        <v>2</v>
      </c>
      <c r="D61" s="2" t="s">
        <v>72</v>
      </c>
      <c r="E61" s="2" t="s">
        <v>72</v>
      </c>
      <c r="F61" s="2">
        <v>1</v>
      </c>
      <c r="G61" s="3">
        <v>0</v>
      </c>
    </row>
    <row r="62" spans="1:7" x14ac:dyDescent="0.35">
      <c r="A62" s="2" t="s">
        <v>0</v>
      </c>
      <c r="B62" s="2" t="s">
        <v>1</v>
      </c>
      <c r="C62" s="2" t="s">
        <v>2</v>
      </c>
      <c r="D62" s="2" t="s">
        <v>72</v>
      </c>
      <c r="E62" s="2" t="s">
        <v>75</v>
      </c>
      <c r="F62" s="2">
        <v>1</v>
      </c>
      <c r="G62" s="3">
        <v>0</v>
      </c>
    </row>
    <row r="63" spans="1:7" x14ac:dyDescent="0.35">
      <c r="A63" s="4" t="s">
        <v>4</v>
      </c>
      <c r="B63" s="4" t="s">
        <v>5</v>
      </c>
      <c r="C63" s="4" t="s">
        <v>6</v>
      </c>
      <c r="D63" s="4" t="s">
        <v>76</v>
      </c>
      <c r="E63" s="4" t="s">
        <v>76</v>
      </c>
      <c r="F63" s="4">
        <v>1</v>
      </c>
      <c r="G63" s="5">
        <v>0</v>
      </c>
    </row>
    <row r="64" spans="1:7" x14ac:dyDescent="0.35">
      <c r="A64" s="4" t="s">
        <v>4</v>
      </c>
      <c r="B64" s="4" t="s">
        <v>5</v>
      </c>
      <c r="C64" s="4" t="s">
        <v>6</v>
      </c>
      <c r="D64" s="4" t="s">
        <v>77</v>
      </c>
      <c r="E64" s="4" t="s">
        <v>77</v>
      </c>
      <c r="F64" s="4">
        <v>1</v>
      </c>
      <c r="G64" s="5">
        <v>0</v>
      </c>
    </row>
    <row r="65" spans="1:7" x14ac:dyDescent="0.35">
      <c r="A65" s="4" t="s">
        <v>4</v>
      </c>
      <c r="B65" s="4" t="s">
        <v>5</v>
      </c>
      <c r="C65" s="4" t="s">
        <v>6</v>
      </c>
      <c r="D65" s="4" t="s">
        <v>78</v>
      </c>
      <c r="E65" s="4" t="s">
        <v>79</v>
      </c>
      <c r="F65" s="4">
        <v>1</v>
      </c>
      <c r="G65" s="5">
        <v>2544</v>
      </c>
    </row>
    <row r="66" spans="1:7" x14ac:dyDescent="0.35">
      <c r="A66" s="4" t="s">
        <v>4</v>
      </c>
      <c r="B66" s="4" t="s">
        <v>5</v>
      </c>
      <c r="C66" s="4" t="s">
        <v>6</v>
      </c>
      <c r="D66" s="4" t="s">
        <v>78</v>
      </c>
      <c r="E66" s="4" t="s">
        <v>80</v>
      </c>
      <c r="F66" s="4">
        <v>1</v>
      </c>
      <c r="G66" s="5">
        <v>600</v>
      </c>
    </row>
    <row r="67" spans="1:7" x14ac:dyDescent="0.35">
      <c r="A67" s="4" t="s">
        <v>4</v>
      </c>
      <c r="B67" s="4" t="s">
        <v>5</v>
      </c>
      <c r="C67" s="4" t="s">
        <v>6</v>
      </c>
      <c r="D67" s="4" t="s">
        <v>78</v>
      </c>
      <c r="E67" s="4" t="s">
        <v>81</v>
      </c>
      <c r="F67" s="4">
        <v>1</v>
      </c>
      <c r="G67" s="5">
        <v>1529.24</v>
      </c>
    </row>
    <row r="68" spans="1:7" x14ac:dyDescent="0.35">
      <c r="A68" s="4" t="s">
        <v>4</v>
      </c>
      <c r="B68" s="4" t="s">
        <v>5</v>
      </c>
      <c r="C68" s="4" t="s">
        <v>6</v>
      </c>
      <c r="D68" s="4" t="s">
        <v>78</v>
      </c>
      <c r="E68" s="4" t="s">
        <v>78</v>
      </c>
      <c r="F68" s="4">
        <v>1</v>
      </c>
      <c r="G68" s="5">
        <v>0</v>
      </c>
    </row>
    <row r="69" spans="1:7" x14ac:dyDescent="0.35">
      <c r="A69" s="4" t="s">
        <v>4</v>
      </c>
      <c r="B69" s="4" t="s">
        <v>5</v>
      </c>
      <c r="C69" s="4" t="s">
        <v>6</v>
      </c>
      <c r="D69" s="4" t="s">
        <v>78</v>
      </c>
      <c r="E69" s="4" t="s">
        <v>82</v>
      </c>
      <c r="F69" s="4">
        <v>1</v>
      </c>
      <c r="G69" s="5">
        <v>0</v>
      </c>
    </row>
    <row r="70" spans="1:7" x14ac:dyDescent="0.35">
      <c r="A70" s="4" t="s">
        <v>4</v>
      </c>
      <c r="B70" s="4" t="s">
        <v>5</v>
      </c>
      <c r="C70" s="4" t="s">
        <v>6</v>
      </c>
      <c r="D70" s="4" t="s">
        <v>83</v>
      </c>
      <c r="E70" s="4" t="s">
        <v>83</v>
      </c>
      <c r="F70" s="4">
        <v>1</v>
      </c>
      <c r="G70" s="5">
        <v>2021</v>
      </c>
    </row>
    <row r="71" spans="1:7" x14ac:dyDescent="0.35">
      <c r="A71" s="8" t="s">
        <v>31</v>
      </c>
      <c r="B71" s="8" t="s">
        <v>5</v>
      </c>
      <c r="C71" s="8" t="s">
        <v>31</v>
      </c>
      <c r="D71" s="8" t="s">
        <v>84</v>
      </c>
      <c r="E71" s="8" t="s">
        <v>84</v>
      </c>
      <c r="F71" s="8">
        <v>1</v>
      </c>
      <c r="G71" s="9">
        <v>179961.75</v>
      </c>
    </row>
    <row r="72" spans="1:7" x14ac:dyDescent="0.35">
      <c r="A72" s="6" t="s">
        <v>8</v>
      </c>
      <c r="B72" s="6" t="s">
        <v>1</v>
      </c>
      <c r="C72" s="6" t="s">
        <v>28</v>
      </c>
      <c r="D72" s="6" t="s">
        <v>85</v>
      </c>
      <c r="E72" s="6" t="s">
        <v>85</v>
      </c>
      <c r="F72" s="6">
        <v>1</v>
      </c>
      <c r="G72" s="7">
        <v>-1249.1199999999999</v>
      </c>
    </row>
    <row r="73" spans="1:7" x14ac:dyDescent="0.35">
      <c r="A73" s="4" t="s">
        <v>4</v>
      </c>
      <c r="B73" s="4" t="s">
        <v>5</v>
      </c>
      <c r="C73" s="4" t="s">
        <v>6</v>
      </c>
      <c r="D73" s="4" t="s">
        <v>86</v>
      </c>
      <c r="E73" s="4" t="s">
        <v>86</v>
      </c>
      <c r="F73" s="4">
        <v>1</v>
      </c>
      <c r="G73" s="5">
        <v>7005</v>
      </c>
    </row>
    <row r="74" spans="1:7" x14ac:dyDescent="0.35">
      <c r="A74" s="4" t="s">
        <v>4</v>
      </c>
      <c r="B74" s="4" t="s">
        <v>5</v>
      </c>
      <c r="C74" s="4" t="s">
        <v>6</v>
      </c>
      <c r="D74" s="4" t="s">
        <v>87</v>
      </c>
      <c r="E74" s="4" t="s">
        <v>88</v>
      </c>
      <c r="F74" s="4">
        <v>1</v>
      </c>
      <c r="G74" s="5">
        <v>390</v>
      </c>
    </row>
    <row r="75" spans="1:7" x14ac:dyDescent="0.35">
      <c r="A75" s="4" t="s">
        <v>4</v>
      </c>
      <c r="B75" s="4" t="s">
        <v>5</v>
      </c>
      <c r="C75" s="4" t="s">
        <v>6</v>
      </c>
      <c r="D75" s="4" t="s">
        <v>87</v>
      </c>
      <c r="E75" s="4" t="s">
        <v>89</v>
      </c>
      <c r="F75" s="4">
        <v>1</v>
      </c>
      <c r="G75" s="5">
        <v>0</v>
      </c>
    </row>
    <row r="76" spans="1:7" x14ac:dyDescent="0.35">
      <c r="A76" s="4" t="s">
        <v>4</v>
      </c>
      <c r="B76" s="4" t="s">
        <v>5</v>
      </c>
      <c r="C76" s="4" t="s">
        <v>6</v>
      </c>
      <c r="D76" s="4" t="s">
        <v>87</v>
      </c>
      <c r="E76" s="4" t="s">
        <v>87</v>
      </c>
      <c r="F76" s="4">
        <v>1</v>
      </c>
      <c r="G76" s="5">
        <v>0</v>
      </c>
    </row>
    <row r="77" spans="1:7" x14ac:dyDescent="0.35">
      <c r="A77" s="4" t="s">
        <v>4</v>
      </c>
      <c r="B77" s="4" t="s">
        <v>5</v>
      </c>
      <c r="C77" s="4" t="s">
        <v>6</v>
      </c>
      <c r="D77" s="4" t="s">
        <v>87</v>
      </c>
      <c r="E77" s="4" t="s">
        <v>90</v>
      </c>
      <c r="F77" s="4">
        <v>1</v>
      </c>
      <c r="G77" s="5">
        <v>0</v>
      </c>
    </row>
    <row r="78" spans="1:7" x14ac:dyDescent="0.35">
      <c r="A78" s="2" t="s">
        <v>0</v>
      </c>
      <c r="B78" s="2" t="s">
        <v>1</v>
      </c>
      <c r="C78" s="2" t="s">
        <v>2</v>
      </c>
      <c r="D78" s="2" t="s">
        <v>91</v>
      </c>
      <c r="E78" s="2" t="s">
        <v>91</v>
      </c>
      <c r="F78" s="2">
        <v>1</v>
      </c>
      <c r="G78" s="3">
        <v>1200</v>
      </c>
    </row>
    <row r="79" spans="1:7" x14ac:dyDescent="0.35">
      <c r="A79" s="4" t="s">
        <v>4</v>
      </c>
      <c r="B79" s="4" t="s">
        <v>5</v>
      </c>
      <c r="C79" s="4" t="s">
        <v>6</v>
      </c>
      <c r="D79" s="4" t="s">
        <v>92</v>
      </c>
      <c r="E79" s="4" t="s">
        <v>92</v>
      </c>
      <c r="F79" s="4">
        <v>1</v>
      </c>
      <c r="G79" s="5">
        <v>6199.36</v>
      </c>
    </row>
    <row r="80" spans="1:7" x14ac:dyDescent="0.35">
      <c r="A80" s="4" t="s">
        <v>4</v>
      </c>
      <c r="B80" s="4" t="s">
        <v>5</v>
      </c>
      <c r="C80" s="4" t="s">
        <v>6</v>
      </c>
      <c r="D80" s="4" t="s">
        <v>93</v>
      </c>
      <c r="E80" s="4" t="s">
        <v>93</v>
      </c>
      <c r="F80" s="4">
        <v>1</v>
      </c>
      <c r="G80" s="5">
        <v>4003.44</v>
      </c>
    </row>
    <row r="81" spans="1:7" x14ac:dyDescent="0.35">
      <c r="A81" s="4" t="s">
        <v>4</v>
      </c>
      <c r="B81" s="4" t="s">
        <v>5</v>
      </c>
      <c r="C81" s="4" t="s">
        <v>6</v>
      </c>
      <c r="D81" s="4" t="s">
        <v>94</v>
      </c>
      <c r="E81" s="4" t="s">
        <v>94</v>
      </c>
      <c r="F81" s="4">
        <v>1</v>
      </c>
      <c r="G81" s="5">
        <v>3452.23</v>
      </c>
    </row>
    <row r="82" spans="1:7" x14ac:dyDescent="0.35">
      <c r="A82" s="2" t="s">
        <v>0</v>
      </c>
      <c r="B82" s="2" t="s">
        <v>1</v>
      </c>
      <c r="C82" s="2" t="s">
        <v>2</v>
      </c>
      <c r="D82" s="2" t="s">
        <v>95</v>
      </c>
      <c r="E82" s="2" t="s">
        <v>95</v>
      </c>
      <c r="F82" s="2">
        <v>1</v>
      </c>
      <c r="G82" s="3">
        <v>0</v>
      </c>
    </row>
    <row r="83" spans="1:7" x14ac:dyDescent="0.35">
      <c r="A83" s="4" t="s">
        <v>4</v>
      </c>
      <c r="B83" s="4" t="s">
        <v>5</v>
      </c>
      <c r="C83" s="4" t="s">
        <v>6</v>
      </c>
      <c r="D83" s="4" t="s">
        <v>96</v>
      </c>
      <c r="E83" s="4" t="s">
        <v>96</v>
      </c>
      <c r="F83" s="4">
        <v>1</v>
      </c>
      <c r="G83" s="5">
        <v>501.59</v>
      </c>
    </row>
    <row r="84" spans="1:7" x14ac:dyDescent="0.35">
      <c r="A84" s="4" t="s">
        <v>4</v>
      </c>
      <c r="B84" s="4" t="s">
        <v>5</v>
      </c>
      <c r="C84" s="4" t="s">
        <v>6</v>
      </c>
      <c r="D84" s="4" t="s">
        <v>97</v>
      </c>
      <c r="E84" s="4" t="s">
        <v>97</v>
      </c>
      <c r="F84" s="4">
        <v>1</v>
      </c>
      <c r="G84" s="5">
        <v>0</v>
      </c>
    </row>
    <row r="85" spans="1:7" x14ac:dyDescent="0.35">
      <c r="A85" s="4" t="s">
        <v>4</v>
      </c>
      <c r="B85" s="4" t="s">
        <v>5</v>
      </c>
      <c r="C85" s="4" t="s">
        <v>6</v>
      </c>
      <c r="D85" s="4" t="s">
        <v>98</v>
      </c>
      <c r="E85" s="4" t="s">
        <v>99</v>
      </c>
      <c r="F85" s="4">
        <v>1</v>
      </c>
      <c r="G85" s="5">
        <v>2253.96</v>
      </c>
    </row>
    <row r="86" spans="1:7" x14ac:dyDescent="0.35">
      <c r="A86" s="4" t="s">
        <v>4</v>
      </c>
      <c r="B86" s="4" t="s">
        <v>5</v>
      </c>
      <c r="C86" s="4" t="s">
        <v>6</v>
      </c>
      <c r="D86" s="4" t="s">
        <v>98</v>
      </c>
      <c r="E86" s="4" t="s">
        <v>100</v>
      </c>
      <c r="F86" s="4">
        <v>1</v>
      </c>
      <c r="G86" s="5">
        <v>0</v>
      </c>
    </row>
    <row r="87" spans="1:7" x14ac:dyDescent="0.35">
      <c r="A87" s="4" t="s">
        <v>4</v>
      </c>
      <c r="B87" s="4" t="s">
        <v>5</v>
      </c>
      <c r="C87" s="4" t="s">
        <v>6</v>
      </c>
      <c r="D87" s="4" t="s">
        <v>98</v>
      </c>
      <c r="E87" s="4" t="s">
        <v>101</v>
      </c>
      <c r="F87" s="4">
        <v>1</v>
      </c>
      <c r="G87" s="5">
        <v>4608.57</v>
      </c>
    </row>
    <row r="88" spans="1:7" x14ac:dyDescent="0.35">
      <c r="A88" s="4" t="s">
        <v>4</v>
      </c>
      <c r="B88" s="4" t="s">
        <v>5</v>
      </c>
      <c r="C88" s="4" t="s">
        <v>6</v>
      </c>
      <c r="D88" s="4" t="s">
        <v>98</v>
      </c>
      <c r="E88" s="4" t="s">
        <v>102</v>
      </c>
      <c r="F88" s="4">
        <v>1</v>
      </c>
      <c r="G88" s="5">
        <v>0</v>
      </c>
    </row>
    <row r="89" spans="1:7" x14ac:dyDescent="0.35">
      <c r="A89" s="4" t="s">
        <v>4</v>
      </c>
      <c r="B89" s="4" t="s">
        <v>5</v>
      </c>
      <c r="C89" s="4" t="s">
        <v>6</v>
      </c>
      <c r="D89" s="4" t="s">
        <v>98</v>
      </c>
      <c r="E89" s="4" t="s">
        <v>98</v>
      </c>
      <c r="F89" s="4">
        <v>1</v>
      </c>
      <c r="G89" s="5">
        <v>0</v>
      </c>
    </row>
    <row r="90" spans="1:7" x14ac:dyDescent="0.35">
      <c r="A90" s="4" t="s">
        <v>4</v>
      </c>
      <c r="B90" s="4" t="s">
        <v>5</v>
      </c>
      <c r="C90" s="4" t="s">
        <v>6</v>
      </c>
      <c r="D90" s="4" t="s">
        <v>98</v>
      </c>
      <c r="E90" s="4" t="s">
        <v>103</v>
      </c>
      <c r="F90" s="4">
        <v>1</v>
      </c>
      <c r="G90" s="5">
        <v>6312</v>
      </c>
    </row>
    <row r="91" spans="1:7" x14ac:dyDescent="0.35">
      <c r="A91" s="4" t="s">
        <v>4</v>
      </c>
      <c r="B91" s="4" t="s">
        <v>5</v>
      </c>
      <c r="C91" s="4" t="s">
        <v>6</v>
      </c>
      <c r="D91" s="4" t="s">
        <v>98</v>
      </c>
      <c r="E91" s="4" t="s">
        <v>104</v>
      </c>
      <c r="F91" s="4">
        <v>1</v>
      </c>
      <c r="G91" s="5">
        <v>0</v>
      </c>
    </row>
    <row r="92" spans="1:7" x14ac:dyDescent="0.35">
      <c r="A92" s="16" t="s">
        <v>105</v>
      </c>
      <c r="B92" s="16" t="s">
        <v>1</v>
      </c>
      <c r="C92" s="16" t="s">
        <v>105</v>
      </c>
      <c r="D92" s="16" t="s">
        <v>106</v>
      </c>
      <c r="E92" s="16" t="s">
        <v>107</v>
      </c>
      <c r="F92" s="16">
        <v>1</v>
      </c>
      <c r="G92" s="17">
        <v>135000</v>
      </c>
    </row>
    <row r="93" spans="1:7" x14ac:dyDescent="0.35">
      <c r="A93" s="16" t="s">
        <v>105</v>
      </c>
      <c r="B93" s="16" t="s">
        <v>1</v>
      </c>
      <c r="C93" s="16" t="s">
        <v>105</v>
      </c>
      <c r="D93" s="16" t="s">
        <v>106</v>
      </c>
      <c r="E93" s="16" t="s">
        <v>106</v>
      </c>
      <c r="F93" s="16">
        <v>1</v>
      </c>
      <c r="G93" s="17">
        <v>0</v>
      </c>
    </row>
    <row r="94" spans="1:7" x14ac:dyDescent="0.35">
      <c r="A94" s="16" t="s">
        <v>105</v>
      </c>
      <c r="B94" s="16" t="s">
        <v>1</v>
      </c>
      <c r="C94" s="16" t="s">
        <v>105</v>
      </c>
      <c r="D94" s="16" t="s">
        <v>106</v>
      </c>
      <c r="E94" s="16" t="s">
        <v>108</v>
      </c>
      <c r="F94" s="16">
        <v>1</v>
      </c>
      <c r="G94" s="17">
        <v>0</v>
      </c>
    </row>
    <row r="95" spans="1:7" x14ac:dyDescent="0.35">
      <c r="A95" s="16" t="s">
        <v>105</v>
      </c>
      <c r="B95" s="16" t="s">
        <v>1</v>
      </c>
      <c r="C95" s="16" t="s">
        <v>105</v>
      </c>
      <c r="D95" s="16" t="s">
        <v>106</v>
      </c>
      <c r="E95" s="16" t="s">
        <v>109</v>
      </c>
      <c r="F95" s="16">
        <v>1</v>
      </c>
      <c r="G95" s="17">
        <v>0</v>
      </c>
    </row>
    <row r="96" spans="1:7" x14ac:dyDescent="0.35">
      <c r="A96" s="16" t="s">
        <v>105</v>
      </c>
      <c r="B96" s="16" t="s">
        <v>1</v>
      </c>
      <c r="C96" s="16" t="s">
        <v>105</v>
      </c>
      <c r="D96" s="16" t="s">
        <v>106</v>
      </c>
      <c r="E96" s="16" t="s">
        <v>110</v>
      </c>
      <c r="F96" s="16">
        <v>1</v>
      </c>
      <c r="G96" s="17">
        <v>0</v>
      </c>
    </row>
    <row r="97" spans="1:7" x14ac:dyDescent="0.35">
      <c r="A97" s="16" t="s">
        <v>105</v>
      </c>
      <c r="B97" s="16" t="s">
        <v>1</v>
      </c>
      <c r="C97" s="16" t="s">
        <v>105</v>
      </c>
      <c r="D97" s="16" t="s">
        <v>111</v>
      </c>
      <c r="E97" s="16" t="s">
        <v>111</v>
      </c>
      <c r="F97" s="16">
        <v>1</v>
      </c>
      <c r="G97" s="17">
        <v>-44324.800000000003</v>
      </c>
    </row>
    <row r="98" spans="1:7" x14ac:dyDescent="0.35">
      <c r="A98" s="16" t="s">
        <v>105</v>
      </c>
      <c r="B98" s="16" t="s">
        <v>1</v>
      </c>
      <c r="C98" s="16" t="s">
        <v>105</v>
      </c>
      <c r="D98" s="16" t="s">
        <v>112</v>
      </c>
      <c r="E98" s="16" t="s">
        <v>112</v>
      </c>
      <c r="F98" s="16">
        <v>1</v>
      </c>
      <c r="G98" s="17">
        <v>-148723.26999999999</v>
      </c>
    </row>
    <row r="99" spans="1:7" x14ac:dyDescent="0.35">
      <c r="A99" s="6" t="s">
        <v>8</v>
      </c>
      <c r="B99" s="6" t="s">
        <v>1</v>
      </c>
      <c r="C99" s="6" t="s">
        <v>28</v>
      </c>
      <c r="D99" s="6" t="s">
        <v>113</v>
      </c>
      <c r="E99" s="6" t="s">
        <v>113</v>
      </c>
      <c r="F99" s="6">
        <v>1</v>
      </c>
      <c r="G99" s="7">
        <v>-16697.3</v>
      </c>
    </row>
    <row r="100" spans="1:7" x14ac:dyDescent="0.35">
      <c r="A100" s="2" t="s">
        <v>0</v>
      </c>
      <c r="B100" s="2" t="s">
        <v>1</v>
      </c>
      <c r="C100" s="2" t="s">
        <v>11</v>
      </c>
      <c r="D100" s="2" t="s">
        <v>114</v>
      </c>
      <c r="E100" s="2" t="s">
        <v>114</v>
      </c>
      <c r="F100" s="2">
        <v>1</v>
      </c>
      <c r="G100" s="3">
        <v>-923.04</v>
      </c>
    </row>
    <row r="101" spans="1:7" x14ac:dyDescent="0.35">
      <c r="A101" s="6" t="s">
        <v>8</v>
      </c>
      <c r="B101" s="6" t="s">
        <v>1</v>
      </c>
      <c r="C101" s="6" t="s">
        <v>28</v>
      </c>
      <c r="D101" s="6" t="s">
        <v>115</v>
      </c>
      <c r="E101" s="6" t="s">
        <v>116</v>
      </c>
      <c r="F101" s="6">
        <v>1</v>
      </c>
      <c r="G101" s="7">
        <v>0</v>
      </c>
    </row>
    <row r="102" spans="1:7" x14ac:dyDescent="0.35">
      <c r="A102" s="6" t="s">
        <v>8</v>
      </c>
      <c r="B102" s="6" t="s">
        <v>1</v>
      </c>
      <c r="C102" s="6" t="s">
        <v>28</v>
      </c>
      <c r="D102" s="6" t="s">
        <v>115</v>
      </c>
      <c r="E102" s="6" t="s">
        <v>115</v>
      </c>
      <c r="F102" s="6">
        <v>1</v>
      </c>
      <c r="G102" s="7">
        <v>0</v>
      </c>
    </row>
    <row r="103" spans="1:7" x14ac:dyDescent="0.35">
      <c r="A103" s="6" t="s">
        <v>8</v>
      </c>
      <c r="B103" s="6" t="s">
        <v>1</v>
      </c>
      <c r="C103" s="6" t="s">
        <v>28</v>
      </c>
      <c r="D103" s="6" t="s">
        <v>115</v>
      </c>
      <c r="E103" s="6" t="s">
        <v>117</v>
      </c>
      <c r="F103" s="6">
        <v>1</v>
      </c>
      <c r="G103" s="7">
        <v>0</v>
      </c>
    </row>
    <row r="104" spans="1:7" x14ac:dyDescent="0.35">
      <c r="A104" s="6" t="s">
        <v>8</v>
      </c>
      <c r="B104" s="6" t="s">
        <v>1</v>
      </c>
      <c r="C104" s="6" t="s">
        <v>28</v>
      </c>
      <c r="D104" s="6" t="s">
        <v>115</v>
      </c>
      <c r="E104" s="6" t="s">
        <v>118</v>
      </c>
      <c r="F104" s="6">
        <v>1</v>
      </c>
      <c r="G104" s="7">
        <v>-2873.72</v>
      </c>
    </row>
    <row r="105" spans="1:7" x14ac:dyDescent="0.35">
      <c r="A105" s="6" t="s">
        <v>8</v>
      </c>
      <c r="B105" s="6" t="s">
        <v>1</v>
      </c>
      <c r="C105" s="6" t="s">
        <v>28</v>
      </c>
      <c r="D105" s="6" t="s">
        <v>115</v>
      </c>
      <c r="E105" s="6" t="s">
        <v>119</v>
      </c>
      <c r="F105" s="6">
        <v>1</v>
      </c>
      <c r="G105" s="7">
        <v>-50</v>
      </c>
    </row>
    <row r="106" spans="1:7" x14ac:dyDescent="0.35">
      <c r="A106" s="10" t="s">
        <v>53</v>
      </c>
      <c r="B106" s="10" t="s">
        <v>5</v>
      </c>
      <c r="C106" s="10" t="s">
        <v>54</v>
      </c>
      <c r="D106" s="10" t="s">
        <v>54</v>
      </c>
      <c r="E106" s="10" t="s">
        <v>54</v>
      </c>
      <c r="F106" s="10">
        <v>1</v>
      </c>
      <c r="G106" s="11">
        <v>-411809.53</v>
      </c>
    </row>
    <row r="107" spans="1:7" x14ac:dyDescent="0.35">
      <c r="A107" s="4" t="s">
        <v>4</v>
      </c>
      <c r="B107" s="4" t="s">
        <v>5</v>
      </c>
      <c r="C107" s="4" t="s">
        <v>6</v>
      </c>
      <c r="D107" s="4" t="s">
        <v>120</v>
      </c>
      <c r="E107" s="4" t="s">
        <v>120</v>
      </c>
      <c r="F107" s="4">
        <v>1</v>
      </c>
      <c r="G107" s="23">
        <v>3990.8</v>
      </c>
    </row>
    <row r="108" spans="1:7" x14ac:dyDescent="0.35">
      <c r="G108" s="20">
        <f>SUM(G2:G107)</f>
        <v>7.0031092036515474E-11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zoomScale="90" zoomScaleNormal="90" workbookViewId="0">
      <selection activeCell="E21" sqref="E21"/>
    </sheetView>
  </sheetViews>
  <sheetFormatPr defaultColWidth="8.6328125" defaultRowHeight="14.5" x14ac:dyDescent="0.35"/>
  <cols>
    <col min="1" max="1" width="61.90625" customWidth="1"/>
    <col min="2" max="2" width="18" customWidth="1"/>
  </cols>
  <sheetData>
    <row r="1" spans="1:2" ht="15.5" x14ac:dyDescent="0.35">
      <c r="A1" s="18" t="s">
        <v>121</v>
      </c>
    </row>
    <row r="2" spans="1:2" x14ac:dyDescent="0.35">
      <c r="A2" s="19" t="s">
        <v>122</v>
      </c>
      <c r="B2" s="19" t="s">
        <v>123</v>
      </c>
    </row>
    <row r="3" spans="1:2" x14ac:dyDescent="0.35">
      <c r="A3" t="s">
        <v>124</v>
      </c>
      <c r="B3" s="20">
        <f>SUMIF('Chart of Accounts'!A2:A107,"Asset",'Chart of Accounts'!G2:G107)</f>
        <v>287338.41000000003</v>
      </c>
    </row>
    <row r="4" spans="1:2" x14ac:dyDescent="0.35">
      <c r="A4" t="s">
        <v>125</v>
      </c>
      <c r="B4" s="20">
        <f>SUMIF('Chart of Accounts'!A2:A107,"Liability",'Chart of Accounts'!G2:G107)</f>
        <v>-121988.22</v>
      </c>
    </row>
    <row r="5" spans="1:2" x14ac:dyDescent="0.35">
      <c r="A5" t="s">
        <v>126</v>
      </c>
      <c r="B5" s="20">
        <f>SUMIF('Chart of Accounts'!A2:A107,"Equity",'Chart of Accounts'!G2:G107)</f>
        <v>-58048.069999999992</v>
      </c>
    </row>
    <row r="6" spans="1:2" x14ac:dyDescent="0.35">
      <c r="A6" t="s">
        <v>127</v>
      </c>
      <c r="B6" s="20">
        <f>B4+B5</f>
        <v>-180036.28999999998</v>
      </c>
    </row>
    <row r="7" spans="1:2" x14ac:dyDescent="0.35">
      <c r="A7" t="s">
        <v>128</v>
      </c>
      <c r="B7" s="25">
        <f>B3-B6</f>
        <v>467374.7</v>
      </c>
    </row>
    <row r="9" spans="1:2" x14ac:dyDescent="0.35">
      <c r="A9" s="21" t="s">
        <v>129</v>
      </c>
    </row>
    <row r="12" spans="1:2" ht="15.5" x14ac:dyDescent="0.35">
      <c r="A12" s="18" t="s">
        <v>130</v>
      </c>
    </row>
    <row r="13" spans="1:2" x14ac:dyDescent="0.35">
      <c r="A13" t="s">
        <v>131</v>
      </c>
      <c r="B13" s="20">
        <f>SUMIF('Chart of Accounts'!A2:A107,"Income",'Chart of Accounts'!G2:G107)</f>
        <v>-411809.53</v>
      </c>
    </row>
    <row r="14" spans="1:2" x14ac:dyDescent="0.35">
      <c r="A14" t="s">
        <v>132</v>
      </c>
      <c r="B14" s="20">
        <f>SUMIF('Chart of Accounts'!A2:A107,"Cost of Goods Sold",'Chart of Accounts'!G2:G107)</f>
        <v>205729.25</v>
      </c>
    </row>
    <row r="15" spans="1:2" x14ac:dyDescent="0.35">
      <c r="A15" t="s">
        <v>133</v>
      </c>
      <c r="B15" s="20">
        <f>SUMIF('Chart of Accounts'!A2:A107,"Expense",'Chart of Accounts'!G2:G107)</f>
        <v>96481.71</v>
      </c>
    </row>
    <row r="16" spans="1:2" x14ac:dyDescent="0.35">
      <c r="A16" t="s">
        <v>134</v>
      </c>
      <c r="B16" s="20">
        <f>SUMIF('Chart of Accounts'!A2:A107,"Other Income",'Chart of Accounts'!G2:G107)</f>
        <v>0</v>
      </c>
    </row>
    <row r="17" spans="1:2" x14ac:dyDescent="0.35">
      <c r="A17" t="s">
        <v>135</v>
      </c>
      <c r="B17" s="24">
        <f>SUMIF('Chart of Accounts'!A2:A107,"Other Expense",'Chart of Accounts'!G2:G107)</f>
        <v>2296.4499999999998</v>
      </c>
    </row>
    <row r="18" spans="1:2" x14ac:dyDescent="0.35">
      <c r="B18" s="20">
        <f>SUM(B13:B17)</f>
        <v>-107302.12000000002</v>
      </c>
    </row>
    <row r="19" spans="1:2" x14ac:dyDescent="0.35">
      <c r="A19" s="22" t="s">
        <v>136</v>
      </c>
      <c r="B19" s="20">
        <f>-B13-B14-B15-B16-B17</f>
        <v>107302.12000000002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Chart of Accounts</vt:lpstr>
      <vt:lpstr>Summary &amp; 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Stewart Li</cp:lastModifiedBy>
  <cp:revision>0</cp:revision>
  <dcterms:created xsi:type="dcterms:W3CDTF">2026-06-22T23:44:53Z</dcterms:created>
  <dcterms:modified xsi:type="dcterms:W3CDTF">2026-06-23T00:00:11Z</dcterms:modified>
  <dc:language>en-US</dc:language>
</cp:coreProperties>
</file>